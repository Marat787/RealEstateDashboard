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rat/Documents/Код/GitHub/real-estate-dashboard/"/>
    </mc:Choice>
  </mc:AlternateContent>
  <xr:revisionPtr revIDLastSave="0" documentId="13_ncr:1_{8A2CC6BE-69B4-384B-B787-6914A0266E9E}" xr6:coauthVersionLast="47" xr6:coauthVersionMax="47" xr10:uidLastSave="{00000000-0000-0000-0000-000000000000}"/>
  <bookViews>
    <workbookView xWindow="0" yWindow="620" windowWidth="28800" windowHeight="15580" xr2:uid="{00000000-000D-0000-FFFF-FFFF00000000}"/>
  </bookViews>
  <sheets>
    <sheet name="Б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N10" i="1" s="1"/>
  <c r="F10" i="1"/>
  <c r="I10" i="1" s="1"/>
  <c r="A10" i="1"/>
  <c r="J9" i="1"/>
  <c r="N9" i="1" s="1"/>
  <c r="F9" i="1"/>
  <c r="I9" i="1" s="1"/>
  <c r="A9" i="1"/>
  <c r="J8" i="1"/>
  <c r="N8" i="1" s="1"/>
  <c r="F8" i="1"/>
  <c r="I8" i="1" s="1"/>
  <c r="A8" i="1"/>
  <c r="N7" i="1"/>
  <c r="J7" i="1"/>
  <c r="F7" i="1"/>
  <c r="I7" i="1" s="1"/>
  <c r="A7" i="1"/>
  <c r="N6" i="1"/>
  <c r="J6" i="1"/>
  <c r="F6" i="1"/>
  <c r="I6" i="1" s="1"/>
  <c r="J5" i="1"/>
  <c r="F5" i="1"/>
  <c r="J4" i="1"/>
  <c r="N4" i="1" s="1"/>
  <c r="F4" i="1"/>
  <c r="I4" i="1" s="1"/>
  <c r="A4" i="1"/>
  <c r="J3" i="1"/>
  <c r="N3" i="1" s="1"/>
  <c r="F3" i="1"/>
  <c r="I3" i="1" s="1"/>
  <c r="A3" i="1"/>
  <c r="J2" i="1"/>
  <c r="N2" i="1" s="1"/>
  <c r="F2" i="1"/>
  <c r="I2" i="1" s="1"/>
  <c r="A2" i="1"/>
  <c r="N5" i="1" l="1"/>
  <c r="I5" i="1"/>
</calcChain>
</file>

<file path=xl/sharedStrings.xml><?xml version="1.0" encoding="utf-8"?>
<sst xmlns="http://schemas.openxmlformats.org/spreadsheetml/2006/main" count="34" uniqueCount="24">
  <si>
    <t>Статус</t>
  </si>
  <si>
    <t>Объект</t>
  </si>
  <si>
    <t>Источник</t>
  </si>
  <si>
    <t>Дата Заезда</t>
  </si>
  <si>
    <t>Дата Выезда</t>
  </si>
  <si>
    <t>Кол-во суток</t>
  </si>
  <si>
    <t>Контакты</t>
  </si>
  <si>
    <t>Кол-во гостей</t>
  </si>
  <si>
    <t>Цена за сутки</t>
  </si>
  <si>
    <t>ИТОГО стоимость</t>
  </si>
  <si>
    <t>Предоплата</t>
  </si>
  <si>
    <t>ОСТАТОК</t>
  </si>
  <si>
    <t>Комиссия/Расходы</t>
  </si>
  <si>
    <t>Приход ****</t>
  </si>
  <si>
    <t>Объект 1</t>
  </si>
  <si>
    <t>Авито</t>
  </si>
  <si>
    <t>Объект 3</t>
  </si>
  <si>
    <t>Напрямую</t>
  </si>
  <si>
    <t>Объект 4</t>
  </si>
  <si>
    <t>Отмена</t>
  </si>
  <si>
    <t>Объект 2</t>
  </si>
  <si>
    <t>Объект 5</t>
  </si>
  <si>
    <t>Суточно</t>
  </si>
  <si>
    <t>Объект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</si>
</sst>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[$р.-419]#,##0"/>
    <numFmt numFmtId="166" formatCode="[$р.-419]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5">
    <dxf>
      <fill>
        <patternFill patternType="solid">
          <fgColor rgb="FF4A86E8"/>
          <bgColor rgb="FF4A86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15.6640625" customWidth="1"/>
    <col min="2" max="2" width="32.33203125" customWidth="1"/>
    <col min="3" max="3" width="16.1640625" customWidth="1"/>
    <col min="4" max="4" width="18.33203125" customWidth="1"/>
    <col min="5" max="5" width="18.83203125" customWidth="1"/>
    <col min="6" max="6" width="18.6640625" customWidth="1"/>
    <col min="7" max="7" width="13.1640625" customWidth="1"/>
    <col min="8" max="8" width="19.33203125" customWidth="1"/>
    <col min="9" max="9" width="19.5" customWidth="1"/>
    <col min="10" max="10" width="22.5" customWidth="1"/>
    <col min="11" max="11" width="14.6640625" customWidth="1"/>
    <col min="12" max="12" width="15.83203125" customWidth="1"/>
    <col min="13" max="13" width="23.6640625" customWidth="1"/>
    <col min="14" max="14" width="20" customWidth="1"/>
  </cols>
  <sheetData>
    <row r="1" spans="1:25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15">
      <c r="A2" s="6" t="str">
        <f t="shared" ref="A2:A4" ca="1" si="0">IF(D2="","", IF(TODAY()=D2, "⚠️ ЗАЕЗД СЕГОДНЯ", IF(TODAY()=E2, "🏁 ВЫЕЗД СЕГОДНЯ", IF(TODAY()&lt;D2, "Бронь", IF(TODAY()&gt;E2, "Архив", "Живут")))))</f>
        <v>Архив</v>
      </c>
      <c r="B2" s="7" t="s">
        <v>14</v>
      </c>
      <c r="C2" s="7" t="s">
        <v>15</v>
      </c>
      <c r="D2" s="8">
        <v>46021</v>
      </c>
      <c r="E2" s="8">
        <v>46027</v>
      </c>
      <c r="F2" s="6">
        <f t="shared" ref="F2:F10" si="1">IF(AND(D2&lt;&gt;"",E2&lt;&gt;""), E2-D2, "")</f>
        <v>6</v>
      </c>
      <c r="G2" s="6"/>
      <c r="H2" s="6">
        <v>2</v>
      </c>
      <c r="I2" s="9">
        <f t="shared" ref="I2:I10" si="2">IF(AND(J2&lt;&gt;"", F2&lt;&gt;0, F2&lt;&gt;""), J2/F2, "")</f>
        <v>4100</v>
      </c>
      <c r="J2" s="10">
        <f t="shared" ref="J2:J10" si="3">IF(D2="", "", N(K2)+N(L2))</f>
        <v>24600</v>
      </c>
      <c r="K2" s="10">
        <v>4500</v>
      </c>
      <c r="L2" s="10">
        <v>20100</v>
      </c>
      <c r="M2" s="10">
        <v>0</v>
      </c>
      <c r="N2" s="10">
        <f t="shared" ref="N2:N10" si="4">IF(J2="", "", J2-M2)</f>
        <v>24600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6" t="str">
        <f t="shared" ca="1" si="0"/>
        <v>Живут</v>
      </c>
      <c r="B3" s="7" t="s">
        <v>16</v>
      </c>
      <c r="C3" s="7" t="s">
        <v>17</v>
      </c>
      <c r="D3" s="8">
        <v>46036</v>
      </c>
      <c r="E3" s="8">
        <v>46143</v>
      </c>
      <c r="F3" s="6">
        <f t="shared" si="1"/>
        <v>107</v>
      </c>
      <c r="G3" s="6"/>
      <c r="H3" s="6">
        <v>1</v>
      </c>
      <c r="I3" s="9">
        <f t="shared" si="2"/>
        <v>1028.0373831775701</v>
      </c>
      <c r="J3" s="10">
        <f t="shared" si="3"/>
        <v>110000</v>
      </c>
      <c r="K3" s="10"/>
      <c r="L3" s="10">
        <v>110000</v>
      </c>
      <c r="M3" s="10">
        <v>0</v>
      </c>
      <c r="N3" s="10">
        <f t="shared" si="4"/>
        <v>110000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6" t="str">
        <f t="shared" ca="1" si="0"/>
        <v>Живут</v>
      </c>
      <c r="B4" s="7" t="s">
        <v>18</v>
      </c>
      <c r="C4" s="7" t="s">
        <v>17</v>
      </c>
      <c r="D4" s="8">
        <v>46038</v>
      </c>
      <c r="E4" s="8">
        <v>46143</v>
      </c>
      <c r="F4" s="6">
        <f t="shared" si="1"/>
        <v>105</v>
      </c>
      <c r="G4" s="6"/>
      <c r="H4" s="6">
        <v>1</v>
      </c>
      <c r="I4" s="9">
        <f t="shared" si="2"/>
        <v>1333.3333333333333</v>
      </c>
      <c r="J4" s="10">
        <f t="shared" si="3"/>
        <v>140000</v>
      </c>
      <c r="K4" s="10"/>
      <c r="L4" s="10">
        <v>140000</v>
      </c>
      <c r="M4" s="10">
        <v>0</v>
      </c>
      <c r="N4" s="10">
        <f t="shared" si="4"/>
        <v>140000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11" t="s">
        <v>19</v>
      </c>
      <c r="B5" s="7" t="s">
        <v>20</v>
      </c>
      <c r="C5" s="7" t="s">
        <v>15</v>
      </c>
      <c r="D5" s="8">
        <v>46117</v>
      </c>
      <c r="E5" s="8">
        <v>46138</v>
      </c>
      <c r="F5" s="6">
        <f t="shared" si="1"/>
        <v>21</v>
      </c>
      <c r="G5" s="6"/>
      <c r="H5" s="6">
        <v>2</v>
      </c>
      <c r="I5" s="9">
        <f t="shared" si="2"/>
        <v>2093.4761904761904</v>
      </c>
      <c r="J5" s="10">
        <f t="shared" si="3"/>
        <v>43963</v>
      </c>
      <c r="K5" s="10"/>
      <c r="L5" s="10">
        <v>43963</v>
      </c>
      <c r="M5" s="10">
        <v>0</v>
      </c>
      <c r="N5" s="10">
        <f t="shared" si="4"/>
        <v>43963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11" t="s">
        <v>19</v>
      </c>
      <c r="B6" s="7" t="s">
        <v>21</v>
      </c>
      <c r="C6" s="7" t="s">
        <v>22</v>
      </c>
      <c r="D6" s="8">
        <v>46230</v>
      </c>
      <c r="E6" s="8">
        <v>46237</v>
      </c>
      <c r="F6" s="6">
        <f t="shared" si="1"/>
        <v>7</v>
      </c>
      <c r="G6" s="6"/>
      <c r="H6" s="6">
        <v>4</v>
      </c>
      <c r="I6" s="9">
        <f t="shared" si="2"/>
        <v>6496.4285714285716</v>
      </c>
      <c r="J6" s="10">
        <f t="shared" si="3"/>
        <v>45475</v>
      </c>
      <c r="K6" s="10"/>
      <c r="L6" s="10">
        <v>45475</v>
      </c>
      <c r="M6" s="10">
        <v>0</v>
      </c>
      <c r="N6" s="10">
        <f t="shared" si="4"/>
        <v>45475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6" t="str">
        <f t="shared" ref="A7:A10" ca="1" si="5">IF(D7="","", IF(TODAY()=D7, "⚠️ ЗАЕЗД СЕГОДНЯ", IF(TODAY()=E7, "🏁 ВЫЕЗД СЕГОДНЯ", IF(TODAY()&lt;D7, "Бронь", IF(TODAY()&gt;E7, "Архив", "Живут")))))</f>
        <v>Бронь</v>
      </c>
      <c r="B7" s="7" t="s">
        <v>14</v>
      </c>
      <c r="C7" s="7" t="s">
        <v>15</v>
      </c>
      <c r="D7" s="8">
        <v>46216</v>
      </c>
      <c r="E7" s="8">
        <v>46226</v>
      </c>
      <c r="F7" s="6">
        <f t="shared" si="1"/>
        <v>10</v>
      </c>
      <c r="G7" s="6"/>
      <c r="H7" s="6">
        <v>3</v>
      </c>
      <c r="I7" s="9">
        <f t="shared" si="2"/>
        <v>5525</v>
      </c>
      <c r="J7" s="10">
        <f t="shared" si="3"/>
        <v>55250</v>
      </c>
      <c r="K7" s="10"/>
      <c r="L7" s="10">
        <v>55250</v>
      </c>
      <c r="M7" s="10">
        <v>0</v>
      </c>
      <c r="N7" s="10">
        <f t="shared" si="4"/>
        <v>55250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6" t="str">
        <f t="shared" ca="1" si="5"/>
        <v>Бронь</v>
      </c>
      <c r="B8" s="7" t="s">
        <v>23</v>
      </c>
      <c r="C8" s="7" t="s">
        <v>17</v>
      </c>
      <c r="D8" s="8">
        <v>46174</v>
      </c>
      <c r="E8" s="8">
        <v>46179</v>
      </c>
      <c r="F8" s="6">
        <f t="shared" si="1"/>
        <v>5</v>
      </c>
      <c r="G8" s="6"/>
      <c r="H8" s="6">
        <v>2</v>
      </c>
      <c r="I8" s="9">
        <f t="shared" si="2"/>
        <v>4250</v>
      </c>
      <c r="J8" s="10">
        <f t="shared" si="3"/>
        <v>21250</v>
      </c>
      <c r="K8" s="10">
        <v>5000</v>
      </c>
      <c r="L8" s="10">
        <v>16250</v>
      </c>
      <c r="M8" s="10">
        <v>0</v>
      </c>
      <c r="N8" s="10">
        <f t="shared" si="4"/>
        <v>21250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6" t="str">
        <f t="shared" ca="1" si="5"/>
        <v>Бронь</v>
      </c>
      <c r="B9" s="7" t="s">
        <v>20</v>
      </c>
      <c r="C9" s="7" t="s">
        <v>15</v>
      </c>
      <c r="D9" s="8">
        <v>46144</v>
      </c>
      <c r="E9" s="8">
        <v>46148</v>
      </c>
      <c r="F9" s="6">
        <f t="shared" si="1"/>
        <v>4</v>
      </c>
      <c r="G9" s="6"/>
      <c r="H9" s="6">
        <v>2</v>
      </c>
      <c r="I9" s="9">
        <f t="shared" si="2"/>
        <v>3145</v>
      </c>
      <c r="J9" s="10">
        <f t="shared" si="3"/>
        <v>12580</v>
      </c>
      <c r="K9" s="10"/>
      <c r="L9" s="10">
        <v>12580</v>
      </c>
      <c r="M9" s="10">
        <v>0</v>
      </c>
      <c r="N9" s="10">
        <f t="shared" si="4"/>
        <v>12580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6" t="str">
        <f t="shared" ca="1" si="5"/>
        <v>Бронь</v>
      </c>
      <c r="B10" s="7" t="s">
        <v>20</v>
      </c>
      <c r="C10" s="7" t="s">
        <v>17</v>
      </c>
      <c r="D10" s="8">
        <v>46144</v>
      </c>
      <c r="E10" s="8">
        <v>46148</v>
      </c>
      <c r="F10" s="6">
        <f t="shared" si="1"/>
        <v>4</v>
      </c>
      <c r="G10" s="6"/>
      <c r="H10" s="6">
        <v>1</v>
      </c>
      <c r="I10" s="9">
        <f t="shared" si="2"/>
        <v>3700</v>
      </c>
      <c r="J10" s="10">
        <f t="shared" si="3"/>
        <v>14800</v>
      </c>
      <c r="K10" s="10"/>
      <c r="L10" s="10">
        <v>14800</v>
      </c>
      <c r="M10" s="10">
        <v>0</v>
      </c>
      <c r="N10" s="10">
        <f t="shared" si="4"/>
        <v>14800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</sheetData>
  <conditionalFormatting sqref="A1:A10">
    <cfRule type="containsText" dxfId="4" priority="1" operator="containsText" text="ЗАЕЗД СЕГОДНЯ">
      <formula>NOT(ISERROR(SEARCH(("ЗАЕЗД СЕГОДНЯ"),(A1))))</formula>
    </cfRule>
    <cfRule type="containsText" dxfId="3" priority="2" operator="containsText" text="ВЫЕЗД СЕГОДНЯ">
      <formula>NOT(ISERROR(SEARCH(("ВЫЕЗД СЕГОДНЯ"),(A1))))</formula>
    </cfRule>
    <cfRule type="containsText" dxfId="2" priority="3" operator="containsText" text="Бронь">
      <formula>NOT(ISERROR(SEARCH(("Бронь"),(A1))))</formula>
    </cfRule>
    <cfRule type="containsText" dxfId="1" priority="4" operator="containsText" text="Архив">
      <formula>NOT(ISERROR(SEARCH(("Архив"),(A1))))</formula>
    </cfRule>
    <cfRule type="containsText" dxfId="0" priority="5" operator="containsText" text="Живут">
      <formula>NOT(ISERROR(SEARCH(("Живут"),(A1))))</formula>
    </cfRule>
  </conditionalFormatting>
  <dataValidations count="2">
    <dataValidation type="list" allowBlank="1" showErrorMessage="1" sqref="B2:B10" xr:uid="{00000000-0002-0000-0000-000000000000}">
      <formula1>"Объект 1,Объект 2,Объект 3,Объект 4,Объект 5,Объект 6"</formula1>
    </dataValidation>
    <dataValidation type="list" allowBlank="1" showErrorMessage="1" sqref="C2:C10" xr:uid="{00000000-0002-0000-0000-000001000000}">
      <formula1>"Авито,Суточно,Напрямую"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Марат</cp:lastModifiedBy>
  <dcterms:modified xsi:type="dcterms:W3CDTF">2026-03-06T12:20:26Z</dcterms:modified>
</cp:coreProperties>
</file>